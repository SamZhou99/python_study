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90" windowHeight="14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<sst xmlns="http://schemas.openxmlformats.org/spreadsheetml/2006/main" count="11" uniqueCount="11">
  <si>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售价</t>
  </si>
  <si>
    <t>成本</t>
  </si>
  <si>
    <t>房租月</t>
  </si>
  <si>
    <t>人工月</t>
  </si>
  <si>
    <t>水电月</t>
  </si>
  <si>
    <t>其他月</t>
  </si>
  <si>
    <t>毛利率</t>
  </si>
  <si>
    <t>固定成本月</t>
  </si>
  <si>
    <t>盈亏月</t>
  </si>
  <si>
    <t>盈亏天</t>
  </si>
  <si>
    <t>每天份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</si>
</sst>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 Light"/>
      <charset val="134"/>
    </font>
    <font>
      <sz val="10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B18"/>
  <sheetViews>
    <sheetView tabSelected="1" workbookViewId="0">
      <selection activeCell="A7" sqref="A7:B18"/>
    </sheetView>
  </sheetViews>
  <sheetFormatPr defaultColWidth="10.2727272727273" defaultRowHeight="23" customHeight="1" outlineLevelCol="1"/>
  <cols>
    <col min="1" max="1" width="10.2727272727273" style="1" customWidth="1"/>
    <col min="2" max="16384" width="10.2727272727273" style="2" customWidth="1"/>
  </cols>
  <sheetData>
    <row r="7" customHeight="1" spans="1:2">
      <c r="A7" s="1" t="s">
        <v>0</v>
      </c>
      <c r="B7" s="2">
        <v>17.9</v>
      </c>
    </row>
    <row r="8" customHeight="1" spans="1:2">
      <c r="A8" s="1" t="s">
        <v>1</v>
      </c>
      <c r="B8" s="2">
        <v>9</v>
      </c>
    </row>
    <row r="9" customHeight="1" spans="1:2">
      <c r="A9" s="1" t="s">
        <v>2</v>
      </c>
      <c r="B9" s="2">
        <v>1500</v>
      </c>
    </row>
    <row r="10" customHeight="1" spans="1:2">
      <c r="A10" s="1" t="s">
        <v>3</v>
      </c>
      <c r="B10" s="2">
        <v>6000</v>
      </c>
    </row>
    <row r="11" customHeight="1" spans="1:2">
      <c r="A11" s="1" t="s">
        <v>4</v>
      </c>
      <c r="B11" s="2">
        <v>2000</v>
      </c>
    </row>
    <row r="12" customHeight="1" spans="1:2">
      <c r="A12" s="1" t="s">
        <v>5</v>
      </c>
      <c r="B12" s="2">
        <v>1000</v>
      </c>
    </row>
    <row r="14" customHeight="1" spans="1:2">
      <c r="A14" s="1" t="s">
        <v>6</v>
      </c>
      <c r="B14" s="2">
        <f>ROUND((B7-B8)/B7,2)</f>
        <v>0.5</v>
      </c>
    </row>
    <row r="15" customHeight="1" spans="1:2">
      <c r="A15" s="1" t="s">
        <v>7</v>
      </c>
      <c r="B15" s="2">
        <f>B9+B10+B11+B12</f>
        <v>10500</v>
      </c>
    </row>
    <row r="16" customHeight="1" spans="1:2">
      <c r="A16" s="1" t="s">
        <v>8</v>
      </c>
      <c r="B16" s="2">
        <f>B15/B14</f>
        <v>21000</v>
      </c>
    </row>
    <row r="17" customHeight="1" spans="1:2">
      <c r="A17" s="1" t="s">
        <v>9</v>
      </c>
      <c r="B17" s="2">
        <f>ROUND(B16/28,2)</f>
        <v>750</v>
      </c>
    </row>
    <row r="18" customHeight="1" spans="1:2">
      <c r="A18" s="1" t="s">
        <v>10</v>
      </c>
      <c r="B18" s="2">
        <f>ROUND(B17/B7,2)</f>
        <v>41.9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</cp:lastModifiedBy>
  <dcterms:created xsi:type="dcterms:W3CDTF">2023-05-12T11:15:00Z</dcterms:created>
  <dcterms:modified xsi:type="dcterms:W3CDTF">2025-08-30T07:53:39Z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487D63BCE0FC4F4380EE4D740A6E878C_12</vt:lpwstr>
  </property>
</Properties>
</file>